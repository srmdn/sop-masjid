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ku Kas Harian" sheetId="1" r:id="rId1"/>
    <sheet name="Rekap Bulanan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cols>
    <col min="1" max="1" width="5.83203125" customWidth="1"/>
    <col min="2" max="2" width="12.83203125" customWidth="1"/>
    <col min="3" max="3" width="12.83203125" customWidth="1"/>
    <col min="4" max="4" width="38.83203125" customWidth="1"/>
    <col min="5" max="5" width="16.83203125" customWidth="1"/>
    <col min="6" max="6" width="16.83203125" customWidth="1"/>
    <col min="7" max="7" width="30.83203125" customWidth="1"/>
    <col min="8" max="8" width="14.83203125" customWidth="1"/>
  </cols>
  <sheetData>
    <row r="1">
      <c r="A1" t="str">
        <v>No</v>
      </c>
      <c r="B1" t="str">
        <v>Tanggal</v>
      </c>
      <c r="C1" t="str">
        <v>Jenis</v>
      </c>
      <c r="D1" t="str">
        <v>Sumber / Tujuan</v>
      </c>
      <c r="E1" t="str">
        <v>Jumlah (Rp)</v>
      </c>
      <c r="F1" t="str">
        <v>Saldo (Rp)</v>
      </c>
      <c r="G1" t="str">
        <v>Keterangan</v>
      </c>
      <c r="H1" t="str">
        <v>Bukti</v>
      </c>
    </row>
    <row r="2">
      <c r="A2">
        <v>1</v>
      </c>
      <c r="B2" t="str">
        <v>01/06/2025</v>
      </c>
      <c r="C2" t="str">
        <v>Pemasukan</v>
      </c>
      <c r="D2" t="str">
        <v>Infak Kotak Harian (5 hari)</v>
      </c>
      <c r="E2">
        <v>150000</v>
      </c>
      <c r="F2">
        <v>300000</v>
      </c>
      <c r="G2" t="str">
        <v/>
      </c>
      <c r="H2" t="str">
        <v/>
      </c>
    </row>
    <row r="3">
      <c r="A3">
        <v>2</v>
      </c>
      <c r="B3" t="str">
        <v>03/06/2025</v>
      </c>
      <c r="C3" t="str">
        <v>Pengeluaran</v>
      </c>
      <c r="D3" t="str">
        <v>Beli Sabun Cuci Tangan (3 botol)</v>
      </c>
      <c r="E3">
        <v>45000</v>
      </c>
      <c r="F3">
        <f>IF(E3="","",FF2+IF(C3="Pemasukan",E3,-E3))</f>
      </c>
      <c r="G3" t="str">
        <v>Toko Berkah</v>
      </c>
      <c r="H3" t="str">
        <v>Nota ada</v>
      </c>
    </row>
    <row r="4">
      <c r="A4">
        <v>3</v>
      </c>
      <c r="B4" t="str">
        <v>06/06/2025</v>
      </c>
      <c r="C4" t="str">
        <v>Pemasukan</v>
      </c>
      <c r="D4" t="str">
        <v>Infak Jumat</v>
      </c>
      <c r="E4">
        <v>350000</v>
      </c>
      <c r="F4">
        <f>IF(E4="","",FF3+IF(C4="Pemasukan",E4,-E4))</f>
      </c>
      <c r="G4" t="str">
        <v/>
      </c>
      <c r="H4" t="str">
        <v/>
      </c>
    </row>
    <row r="5">
      <c r="A5">
        <v>4</v>
      </c>
      <c r="B5" t="str">
        <v>06/06/2025</v>
      </c>
      <c r="C5" t="str">
        <v>Pengeluaran</v>
      </c>
      <c r="D5" t="str">
        <v>Bayar Listrik Juni</v>
      </c>
      <c r="E5">
        <v>200000</v>
      </c>
      <c r="F5">
        <f>IF(E5="","",FF4+IF(C5="Pemasukan",E5,-E5))</f>
      </c>
      <c r="G5" t="str">
        <v>Token 200rb</v>
      </c>
      <c r="H5" t="str">
        <v>Struk</v>
      </c>
    </row>
    <row r="6">
      <c r="A6">
        <v>5</v>
      </c>
      <c r="B6" t="str">
        <v>15/06/2025</v>
      </c>
      <c r="C6" t="str">
        <v>Pemasukan</v>
      </c>
      <c r="D6" t="str">
        <v>Donasi Bpk. Surya (transfer)</v>
      </c>
      <c r="E6">
        <v>500000</v>
      </c>
      <c r="F6">
        <f>IF(E6="","",FF5+IF(C6="Pemasukan",E6,-E6))</f>
      </c>
      <c r="G6" t="str">
        <v>Perbaikan karpet</v>
      </c>
      <c r="H6" t="str">
        <v>Foto</v>
      </c>
    </row>
    <row r="7">
      <c r="A7">
        <v>6</v>
      </c>
      <c r="B7" t="str">
        <v>20/06/2025</v>
      </c>
      <c r="C7" t="str">
        <v>Pengeluaran</v>
      </c>
      <c r="D7" t="str">
        <v>Beli Karpet Baru (4 lembar)</v>
      </c>
      <c r="E7">
        <v>800000</v>
      </c>
      <c r="F7">
        <f>IF(E7="","",FF6+IF(C7="Pemasukan",E7,-E7))</f>
      </c>
      <c r="G7" t="str">
        <v>Toko Karpet Indah</v>
      </c>
      <c r="H7" t="str">
        <v>Kwitansi</v>
      </c>
    </row>
    <row r="8">
      <c r="F8">
        <f>IF(E8="","",FF7+IF(C8="Pemasukan",E8,-E8))</f>
      </c>
    </row>
    <row r="9">
      <c r="F9">
        <f>IF(E9="","",FF8+IF(C9="Pemasukan",E9,-E9))</f>
      </c>
    </row>
    <row r="10">
      <c r="F10">
        <f>IF(E10="","",FF9+IF(C10="Pemasukan",E10,-E10))</f>
      </c>
    </row>
    <row r="11">
      <c r="F11">
        <f>IF(E11="","",FF10+IF(C11="Pemasukan",E11,-E11))</f>
      </c>
    </row>
    <row r="12">
      <c r="F12">
        <f>IF(E12="","",FF11+IF(C12="Pemasukan",E12,-E12))</f>
      </c>
    </row>
    <row r="13">
      <c r="F13">
        <f>IF(E13="","",FF12+IF(C13="Pemasukan",E13,-E13))</f>
      </c>
    </row>
    <row r="14">
      <c r="F14">
        <f>IF(E14="","",FF13+IF(C14="Pemasukan",E14,-E14))</f>
      </c>
    </row>
    <row r="15">
      <c r="F15">
        <f>IF(E15="","",FF14+IF(C15="Pemasukan",E15,-E15))</f>
      </c>
    </row>
    <row r="16">
      <c r="F16">
        <f>IF(E16="","",FF15+IF(C16="Pemasukan",E16,-E16))</f>
      </c>
    </row>
    <row r="17">
      <c r="F17">
        <f>IF(E17="","",FF16+IF(C17="Pemasukan",E17,-E17))</f>
      </c>
    </row>
  </sheetData>
  <ignoredErrors>
    <ignoredError numberStoredAsText="1" sqref="A1:H1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cols>
    <col min="1" max="1" width="15.83203125" customWidth="1"/>
    <col min="2" max="2" width="20.83203125" customWidth="1"/>
    <col min="3" max="3" width="20.83203125" customWidth="1"/>
    <col min="4" max="4" width="16.83203125" customWidth="1"/>
    <col min="5" max="5" width="16.83203125" customWidth="1"/>
    <col min="6" max="6" width="38.83203125" customWidth="1"/>
  </cols>
  <sheetData>
    <row r="1">
      <c r="A1" t="str">
        <v>Bulan</v>
      </c>
      <c r="B1" t="str">
        <v>Total Pemasukan</v>
      </c>
      <c r="C1" t="str">
        <v>Total Pengeluaran</v>
      </c>
      <c r="D1" t="str">
        <v>Saldo Awal</v>
      </c>
      <c r="E1" t="str">
        <v>Saldo Akhir</v>
      </c>
      <c r="F1" t="str">
        <v>Catatan</v>
      </c>
    </row>
    <row r="2">
      <c r="A2" t="str">
        <v>Juni 2025</v>
      </c>
      <c r="B2">
        <f>SUMIF('Buku Kas Harian'!C2:C500,"Pemasukan",'Buku Kas Harian'!E2:E500)</f>
      </c>
      <c r="C2">
        <f>SUMIF('Buku Kas Harian'!C2:C500,"Pengeluaran",'Buku Kas Harian'!E2:E500)</f>
      </c>
      <c r="D2">
        <v>300000</v>
      </c>
      <c r="E2">
        <f>D2+B2-C2</f>
      </c>
      <c r="F2" t="str">
        <v>Beli karpet baru (pengeluaran besar). Wajar defisit.</v>
      </c>
    </row>
    <row r="3">
      <c r="B3">
        <f>SUMIF('Buku Kas Harian'!C2:C500,"Pemasukan",'Buku Kas Harian'!E2:E500)</f>
      </c>
      <c r="C3">
        <f>SUMIF('Buku Kas Harian'!C2:C500,"Pengeluaran",'Buku Kas Harian'!E2:E500)</f>
      </c>
      <c r="E3">
        <f>D3+B3-C3</f>
      </c>
    </row>
    <row r="4">
      <c r="B4">
        <f>SUMIF('Buku Kas Harian'!C2:C500,"Pemasukan",'Buku Kas Harian'!E2:E500)</f>
      </c>
      <c r="C4">
        <f>SUMIF('Buku Kas Harian'!C2:C500,"Pengeluaran",'Buku Kas Harian'!E2:E500)</f>
      </c>
      <c r="E4">
        <f>D4+B4-C4</f>
      </c>
    </row>
    <row r="5">
      <c r="B5">
        <f>SUMIF('Buku Kas Harian'!C2:C500,"Pemasukan",'Buku Kas Harian'!E2:E500)</f>
      </c>
      <c r="C5">
        <f>SUMIF('Buku Kas Harian'!C2:C500,"Pengeluaran",'Buku Kas Harian'!E2:E500)</f>
      </c>
      <c r="E5">
        <f>D5+B5-C5</f>
      </c>
    </row>
    <row r="6">
      <c r="B6">
        <f>SUMIF('Buku Kas Harian'!C2:C500,"Pemasukan",'Buku Kas Harian'!E2:E500)</f>
      </c>
      <c r="C6">
        <f>SUMIF('Buku Kas Harian'!C2:C500,"Pengeluaran",'Buku Kas Harian'!E2:E500)</f>
      </c>
      <c r="E6">
        <f>D6+B6-C6</f>
      </c>
    </row>
    <row r="7">
      <c r="B7">
        <f>SUMIF('Buku Kas Harian'!C2:C500,"Pemasukan",'Buku Kas Harian'!E2:E500)</f>
      </c>
      <c r="C7">
        <f>SUMIF('Buku Kas Harian'!C2:C500,"Pengeluaran",'Buku Kas Harian'!E2:E500)</f>
      </c>
      <c r="E7">
        <f>D7+B7-C7</f>
      </c>
    </row>
    <row r="8">
      <c r="B8">
        <f>SUMIF('Buku Kas Harian'!C2:C500,"Pemasukan",'Buku Kas Harian'!E2:E500)</f>
      </c>
      <c r="C8">
        <f>SUMIF('Buku Kas Harian'!C2:C500,"Pengeluaran",'Buku Kas Harian'!E2:E500)</f>
      </c>
      <c r="E8">
        <f>D8+B8-C8</f>
      </c>
    </row>
    <row r="9">
      <c r="B9">
        <f>SUMIF('Buku Kas Harian'!C2:C500,"Pemasukan",'Buku Kas Harian'!E2:E500)</f>
      </c>
      <c r="C9">
        <f>SUMIF('Buku Kas Harian'!C2:C500,"Pengeluaran",'Buku Kas Harian'!E2:E500)</f>
      </c>
      <c r="E9">
        <f>D9+B9-C9</f>
      </c>
    </row>
    <row r="10">
      <c r="B10">
        <f>SUMIF('Buku Kas Harian'!C2:C500,"Pemasukan",'Buku Kas Harian'!E2:E500)</f>
      </c>
      <c r="C10">
        <f>SUMIF('Buku Kas Harian'!C2:C500,"Pengeluaran",'Buku Kas Harian'!E2:E500)</f>
      </c>
      <c r="E10">
        <f>D10+B10-C10</f>
      </c>
    </row>
    <row r="11">
      <c r="B11">
        <f>SUMIF('Buku Kas Harian'!C2:C500,"Pemasukan",'Buku Kas Harian'!E2:E500)</f>
      </c>
      <c r="C11">
        <f>SUMIF('Buku Kas Harian'!C2:C500,"Pengeluaran",'Buku Kas Harian'!E2:E500)</f>
      </c>
      <c r="E11">
        <f>D11+B11-C11</f>
      </c>
    </row>
    <row r="12">
      <c r="B12">
        <f>SUMIF('Buku Kas Harian'!C2:C500,"Pemasukan",'Buku Kas Harian'!E2:E500)</f>
      </c>
      <c r="C12">
        <f>SUMIF('Buku Kas Harian'!C2:C500,"Pengeluaran",'Buku Kas Harian'!E2:E500)</f>
      </c>
      <c r="E12">
        <f>D12+B12-C12</f>
      </c>
    </row>
  </sheetData>
  <ignoredErrors>
    <ignoredError numberStoredAsText="1" sqref="A1:F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Buku Kas Harian</vt:lpstr>
      <vt:lpstr>Rekap Bulanan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